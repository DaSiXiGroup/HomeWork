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清单" sheetId="1" r:id="rId1"/>
    <sheet name="工作量评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<sst xmlns="http://schemas.openxmlformats.org/spreadsheetml/2006/main" count="385" uniqueCount="258">
  <si>
    <t>地图最短路径可视化系统 PathLab 项目需求</t>
  </si>
  <si>
    <t>系统名称</t>
  </si>
  <si>
    <t>功能模块</t>
  </si>
  <si>
    <t>功能子项</t>
  </si>
  <si>
    <t>功能描述</t>
  </si>
  <si>
    <t>需求优先级</t>
  </si>
  <si>
    <t>备注信息</t>
  </si>
  <si>
    <t>地图最短路径可视化系统</t>
  </si>
  <si>
    <t>地图数据模型</t>
  </si>
  <si>
    <t>网格尺寸管理</t>
  </si>
  <si>
    <t>支持地图行数、列数调整，并在应用尺寸时重新生成网格。</t>
  </si>
  <si>
    <t>P0</t>
  </si>
  <si>
    <t>单元格数据结构</t>
  </si>
  <si>
    <t>每个格子统一保存障碍状态、地形类型和高度值。</t>
  </si>
  <si>
    <t>坐标索引转换</t>
  </si>
  <si>
    <t>提供行列坐标与一维索引之间的转换，供绘制、编辑和寻路共用。</t>
  </si>
  <si>
    <t>起点终点管理</t>
  </si>
  <si>
    <t>支持设置起点和终点，并避免二者重合或落在不可行走区域。</t>
  </si>
  <si>
    <t>可行走性判断</t>
  </si>
  <si>
    <t>根据当前移动主体判断格子是否可通行。普通主体不能过水或障碍，无人机可以跨越。</t>
  </si>
  <si>
    <t>邻接点生成</t>
  </si>
  <si>
    <t>根据是否允许斜向移动生成 4 邻接或 8 邻接候选。</t>
  </si>
  <si>
    <t>斜向穿角限制</t>
  </si>
  <si>
    <t>非无人机斜向移动时，禁止从两个阻塞格子的夹角中穿过。</t>
  </si>
  <si>
    <t>P1</t>
  </si>
  <si>
    <t>地图清空</t>
  </si>
  <si>
    <t>一键清空全部格子并重置起点终点。</t>
  </si>
  <si>
    <t>障碍清除</t>
  </si>
  <si>
    <t>仅清除障碍和水域，保留其他地形信息。</t>
  </si>
  <si>
    <t>地形重置</t>
  </si>
  <si>
    <t>将所有格子恢复为平原，且高度归零。</t>
  </si>
  <si>
    <t>地形系统</t>
  </si>
  <si>
    <t>平原地形</t>
  </si>
  <si>
    <t>默认地形，代价稳定，适合作为普通通行区域。</t>
  </si>
  <si>
    <t>道路地形</t>
  </si>
  <si>
    <t>道路通行代价较低，车辆和行人都能明显受益。</t>
  </si>
  <si>
    <t>森林地形</t>
  </si>
  <si>
    <t>森林会增加地形代价，越野模式受影响较小。</t>
  </si>
  <si>
    <t>山地地形</t>
  </si>
  <si>
    <t>山地会提高移动代价，并且高度差影响更明显。</t>
  </si>
  <si>
    <t>水域地形</t>
  </si>
  <si>
    <t>水域默认作为阻塞区域，设置为水域时同步标记为障碍。</t>
  </si>
  <si>
    <t>高度系统</t>
  </si>
  <si>
    <t>每个格子具有 0 到 9 的高度，用于计算坡度代价和 3D 显示高度。</t>
  </si>
  <si>
    <t>地形代价模型</t>
  </si>
  <si>
    <t>地形代价、基础移动代价和高度差共同决定最终移动消耗。</t>
  </si>
  <si>
    <t>移动规则表</t>
  </si>
  <si>
    <t>不同移动主体使用不同的道路、森林、山地和坡度代价。</t>
  </si>
  <si>
    <t>不可通行代价</t>
  </si>
  <si>
    <t>对阻塞格子返回极大代价，保证算法不会误走非法区域。</t>
  </si>
  <si>
    <t>基础移动代价</t>
  </si>
  <si>
    <t>直向移动代价为 1，斜向移动代价为 sqrt(2)。</t>
  </si>
  <si>
    <t>地图生成</t>
  </si>
  <si>
    <t>随机地图生成</t>
  </si>
  <si>
    <t>按障碍概率随机生成障碍，同时随机分配道路、森林、山地和高度。</t>
  </si>
  <si>
    <t>程序化地形生成</t>
  </si>
  <si>
    <t>通过丘陵、河流、道路和森林信号生成更自然的地形地图。</t>
  </si>
  <si>
    <t>迷宫地图生成</t>
  </si>
  <si>
    <t>生成迷宫结构，并自动重置起点和终点。</t>
  </si>
  <si>
    <t>城市预设</t>
  </si>
  <si>
    <t>生成街区道路、建筑障碍和城市网格结构。</t>
  </si>
  <si>
    <t>P2</t>
  </si>
  <si>
    <t>河流预设</t>
  </si>
  <si>
    <t>生成带河流、水域和可通行桥梁的地图。</t>
  </si>
  <si>
    <t>山口预设</t>
  </si>
  <si>
    <t>生成山地、通道和起终点分布明显的地图。</t>
  </si>
  <si>
    <t>Demo A*</t>
  </si>
  <si>
    <t>自动生成演示地图并运行 A*，用于快速展示系统效果。</t>
  </si>
  <si>
    <t>起终点自动修正</t>
  </si>
  <si>
    <t>生成地图后自动保证起点和终点处于可行走区域。</t>
  </si>
  <si>
    <t>远距离终点选择</t>
  </si>
  <si>
    <t>随机地图中尽量让终点远离起点，便于展示路径效果。</t>
  </si>
  <si>
    <t>地图编辑</t>
  </si>
  <si>
    <t>选择工具</t>
  </si>
  <si>
    <t>支持选中格子并查看当前格子的行列、地形、高度和通行状态。</t>
  </si>
  <si>
    <t>墙体工具</t>
  </si>
  <si>
    <t>将格子设置为障碍，且不会覆盖起点终点。</t>
  </si>
  <si>
    <t>擦除工具</t>
  </si>
  <si>
    <t>清除指定格子的障碍或水域，使其恢复可通行。</t>
  </si>
  <si>
    <t>起点工具</t>
  </si>
  <si>
    <t>将指定可通行格设置为起点。</t>
  </si>
  <si>
    <t>终点工具</t>
  </si>
  <si>
    <t>将指定可通行格设置为终点。</t>
  </si>
  <si>
    <t>地形画笔</t>
  </si>
  <si>
    <t>支持平原、道路、森林、山地和水域五种地形刷。</t>
  </si>
  <si>
    <t>高度编辑</t>
  </si>
  <si>
    <t>支持对格子高度进行增加或降低。</t>
  </si>
  <si>
    <t>连续绘制</t>
  </si>
  <si>
    <t>按住鼠标拖动时连续编辑格子，并避免同一格重复处理。</t>
  </si>
  <si>
    <t>2D 地图编辑</t>
  </si>
  <si>
    <t>在二维视图下支持左键绘制、右键擦除、滚轮缩放和中键平移。</t>
  </si>
  <si>
    <t>3D 地图编辑</t>
  </si>
  <si>
    <t>在三维视图下支持格子拾取、选中和编辑。</t>
  </si>
  <si>
    <t>撤销</t>
  </si>
  <si>
    <t>编辑前保存地图快照，支持撤销上一步编辑。</t>
  </si>
  <si>
    <t>重做</t>
  </si>
  <si>
    <t>撤销后保留 redo 栈，支持恢复被撤销的操作。</t>
  </si>
  <si>
    <t>路径算法</t>
  </si>
  <si>
    <t>算法抽象基类</t>
  </si>
  <si>
    <t>所有寻路算法通过统一接口运行，便于扩展和替换。</t>
  </si>
  <si>
    <t>BFS</t>
  </si>
  <si>
    <t>按层扩展节点，适合展示无权图最短步数。</t>
  </si>
  <si>
    <t>Dijkstra</t>
  </si>
  <si>
    <t>按照当前最小累计代价扩展，适合带权地图最短路径。</t>
  </si>
  <si>
    <t>A*</t>
  </si>
  <si>
    <t>使用累计代价和启发函数共同排序，兼顾准确性和速度。</t>
  </si>
  <si>
    <t>Weighted A*</t>
  </si>
  <si>
    <t>在 A* 基础上提高启发函数权重，偏向更快到达目标。</t>
  </si>
  <si>
    <t>Greedy Best-First</t>
  </si>
  <si>
    <t>只依据启发函数优先接近终点，速度快但不保证最优。</t>
  </si>
  <si>
    <t>优先队列搜索框架</t>
  </si>
  <si>
    <t>Dijkstra、A*、Weighted A* 和 Greedy 共用同一套 STL priority_queue 框架。</t>
  </si>
  <si>
    <t>启发函数</t>
  </si>
  <si>
    <t>不允许斜向时使用曼哈顿距离，允许斜向时使用八方向距离。</t>
  </si>
  <si>
    <t>路径恢复</t>
  </si>
  <si>
    <t>根据 parent 数组从终点回溯到起点并反转得到最终路径。</t>
  </si>
  <si>
    <t>动画帧记录</t>
  </si>
  <si>
    <t>每一步保存 current、open、closed、path、finished 和 found 信息。</t>
  </si>
  <si>
    <t>结果统计</t>
  </si>
  <si>
    <t>输出是否找到路径、总代价、扩展节点数、生成节点数和耗时。</t>
  </si>
  <si>
    <t>移动主体与代价设置</t>
  </si>
  <si>
    <t>步行模式</t>
  </si>
  <si>
    <t>普通通行模式，受道路、森林、山地和高度差共同影响。</t>
  </si>
  <si>
    <t>车辆模式</t>
  </si>
  <si>
    <t>道路代价低，但森林和山地代价显著提高。</t>
  </si>
  <si>
    <t>越野模式</t>
  </si>
  <si>
    <t>对森林和山地更友好，适合复杂地形。</t>
  </si>
  <si>
    <t>无人机模式</t>
  </si>
  <si>
    <t>可跨越水域和障碍，基本忽略地形与高度代价。</t>
  </si>
  <si>
    <t>斜向移动开关</t>
  </si>
  <si>
    <t>用户可选择是否允许算法沿对角线移动。</t>
  </si>
  <si>
    <t>启发权重调节</t>
  </si>
  <si>
    <t>控制 Weighted A* 中启发函数的影响强度。</t>
  </si>
  <si>
    <t>地形权重调节</t>
  </si>
  <si>
    <t>控制地形附加代价对最终路径的影响。</t>
  </si>
  <si>
    <t>高度权重调节</t>
  </si>
  <si>
    <t>控制高度差对最终路径的影响。</t>
  </si>
  <si>
    <t>移动主体对比</t>
  </si>
  <si>
    <t>一次性比较步行、车辆、越野和无人机在同一地图上的 A* 路径。</t>
  </si>
  <si>
    <t>算法可视化</t>
  </si>
  <si>
    <t>开放集显示</t>
  </si>
  <si>
    <t>在动画中显示当前仍待扩展的节点。</t>
  </si>
  <si>
    <t>关闭集显示</t>
  </si>
  <si>
    <t>在动画中显示已经扩展过的节点。</t>
  </si>
  <si>
    <t>当前节点显示</t>
  </si>
  <si>
    <t>突出显示算法当前正在处理的格子。</t>
  </si>
  <si>
    <t>路径逐步回看</t>
  </si>
  <si>
    <t>支持播放、暂停、上一帧、下一帧、重置、跳到终点和重新播放。</t>
  </si>
  <si>
    <t>播放速度控制</t>
  </si>
  <si>
    <t>用户可调整算法动画播放速度。</t>
  </si>
  <si>
    <t>算法图叠加</t>
  </si>
  <si>
    <t>在三维场景中显示算法搜索图覆盖层。</t>
  </si>
  <si>
    <t>路径曲线显示</t>
  </si>
  <si>
    <t>可在折线路径和曲线化路径之间切换。</t>
  </si>
  <si>
    <t>P3</t>
  </si>
  <si>
    <t>二维可视化</t>
  </si>
  <si>
    <t>二维地图绘制</t>
  </si>
  <si>
    <t>按格子颜色显示地形、障碍、起点、终点和搜索状态。</t>
  </si>
  <si>
    <t>高度标签</t>
  </si>
  <si>
    <t>格子足够大时在二维视图中显示高度数字。</t>
  </si>
  <si>
    <t>缩放</t>
  </si>
  <si>
    <t>支持二维地图缩放，适配不同尺寸地图。</t>
  </si>
  <si>
    <t>平移</t>
  </si>
  <si>
    <t>支持二维地图拖拽平移。</t>
  </si>
  <si>
    <t>悬停提示</t>
  </si>
  <si>
    <t>鼠标悬停时显示格子坐标、地形、高度和缩放信息。</t>
  </si>
  <si>
    <t>多主体路径叠加</t>
  </si>
  <si>
    <t>开启 Agent paths 后，在同一张图中绘制不同主体的路径。</t>
  </si>
  <si>
    <t>三维可视化</t>
  </si>
  <si>
    <t>3D 视图切换</t>
  </si>
  <si>
    <t>支持从二维地图切换到三维地形视图。</t>
  </si>
  <si>
    <t>实体方块地形</t>
  </si>
  <si>
    <t>用具有顶面和侧面明暗差异的实体方块表现高度。</t>
  </si>
  <si>
    <t>平滑地形展示</t>
  </si>
  <si>
    <t>用连续曲面形式展示地形，适合演示和展示。</t>
  </si>
  <si>
    <t>3D 路径绘制</t>
  </si>
  <si>
    <t>在三维地图表面绘制最终路径。</t>
  </si>
  <si>
    <t>3D 多主体路径</t>
  </si>
  <si>
    <t>在三维场景中用不同颜色显示不同移动主体路径。</t>
  </si>
  <si>
    <t>3D 摄像机控制</t>
  </si>
  <si>
    <t>支持右键或中键旋转、滚轮缩放、WASD 平移和 R 重置。</t>
  </si>
  <si>
    <t>3D 高度缩放</t>
  </si>
  <si>
    <t>用户可调节地形高度显示倍率。</t>
  </si>
  <si>
    <t>3D 格子拾取</t>
  </si>
  <si>
    <t>支持在三维场景中选中和编辑具体格子。</t>
  </si>
  <si>
    <t>起终点标记</t>
  </si>
  <si>
    <t>三维场景中用球体标记起点和终点。</t>
  </si>
  <si>
    <t>界面与交互</t>
  </si>
  <si>
    <t>左右功能面板</t>
  </si>
  <si>
    <t>左侧管理地图、算法、主体和视图，右侧管理工具、回放、输出和统计。</t>
  </si>
  <si>
    <t>顶部快捷栏</t>
  </si>
  <si>
    <t>提供视图切换、主题切换、视角重置和快捷键提示。</t>
  </si>
  <si>
    <t>底部状态栏</t>
  </si>
  <si>
    <t>显示当前状态、地图尺寸、FPS、路径结果和操作提示。</t>
  </si>
  <si>
    <t>浅色/深色主题</t>
  </si>
  <si>
    <t>支持浅色主题和深色主题切换。</t>
  </si>
  <si>
    <t>全屏模式</t>
  </si>
  <si>
    <t>支持 F11 全屏和 F10 最大化窗口。</t>
  </si>
  <si>
    <t>自适应 UI 缩放</t>
  </si>
  <si>
    <t>根据窗口尺寸调整 UI 缩放比例。</t>
  </si>
  <si>
    <t>中文字体加载</t>
  </si>
  <si>
    <t>优先加载可用中文字体，失败时使用 raylib 默认字体。</t>
  </si>
  <si>
    <t>统计与导出</t>
  </si>
  <si>
    <t>算法基准测试</t>
  </si>
  <si>
    <t>一次比较 BFS、Dijkstra、A*、Weighted A* 和 Greedy 的路径代价、扩展节点和耗时。</t>
  </si>
  <si>
    <t>统计面板</t>
  </si>
  <si>
    <t>在右侧面板展示当前算法结果和 Benchmark 结果。</t>
  </si>
  <si>
    <t>CSV 导出</t>
  </si>
  <si>
    <t>将 Benchmark 结果导出为 CSV 文件。</t>
  </si>
  <si>
    <t>截图导出</t>
  </si>
  <si>
    <t>将当前界面导出为 PNG 图片。</t>
  </si>
  <si>
    <t>地图保存</t>
  </si>
  <si>
    <t>将当前地图保存为 .pathmap 文件。</t>
  </si>
  <si>
    <t>地图读取</t>
  </si>
  <si>
    <t>从 .pathmap 文件恢复地图尺寸、起终点、地形和高度。</t>
  </si>
  <si>
    <t>跨平台文件选择</t>
  </si>
  <si>
    <t>Windows、macOS、Linux 下使用不同系统命令调用文件选择对话框。</t>
  </si>
  <si>
    <t>地图最短路径可视化系统 PathLab 工作量评估</t>
  </si>
  <si>
    <t>序号</t>
  </si>
  <si>
    <t>主要工作内容</t>
  </si>
  <si>
    <t>优先级范围</t>
  </si>
  <si>
    <t>计划工期(工作日)</t>
  </si>
  <si>
    <t>工作量(人天)</t>
  </si>
  <si>
    <t>人/天（元）</t>
  </si>
  <si>
    <t>小计（元）</t>
  </si>
  <si>
    <t>备注</t>
  </si>
  <si>
    <t>网格尺寸、单元格结构、坐标转换、起终点、可行走性、邻接点生成</t>
  </si>
  <si>
    <t>P0/P1</t>
  </si>
  <si>
    <t>核心底座，影响全部算法和可视化</t>
  </si>
  <si>
    <t>平原、道路、森林、山地、水域、高度、地形代价与基础移动代价</t>
  </si>
  <si>
    <t>地形权重与高度代价共同服务路径规划</t>
  </si>
  <si>
    <t>随机地图、程序化地形、迷宫、城市/河流/山口预设、Demo A*</t>
  </si>
  <si>
    <t>P0/P1/P2</t>
  </si>
  <si>
    <t>预设地图主要用于教学演示</t>
  </si>
  <si>
    <t>选择、墙体、擦除、起终点、地形画笔、高度编辑、2D/3D 编辑、撤销重做</t>
  </si>
  <si>
    <t>交互复杂度较高，需要联调</t>
  </si>
  <si>
    <t>BFS、Dijkstra、A*、Weighted A*、Greedy、启发函数、路径恢复和统计</t>
  </si>
  <si>
    <t>算法正确性和动画帧记录需要重点测试</t>
  </si>
  <si>
    <t>步行、车辆、越野、无人机、斜向移动、启发权重、地形/高度权重</t>
  </si>
  <si>
    <t>用于体现不同角色的路径差异</t>
  </si>
  <si>
    <t>开放集、关闭集、当前节点、路径回看、播放速度、算法图叠加、路径曲线</t>
  </si>
  <si>
    <t>P0/P1/P2/P3</t>
  </si>
  <si>
    <t>系统教学价值的核心表现层</t>
  </si>
  <si>
    <t>二维格子绘制、高度标签、缩放、平移、悬停提示、多主体路径叠加</t>
  </si>
  <si>
    <t>基础展示模式，必须稳定</t>
  </si>
  <si>
    <t>3D 视图、实体方块地形、路径绘制、多主体路径、摄像机控制、格子拾取</t>
  </si>
  <si>
    <t>P1/P2/P3</t>
  </si>
  <si>
    <t>展示亮点，但开发与调试成本较高</t>
  </si>
  <si>
    <t>左右面板、顶部快捷栏、底部状态栏、主题切换、全屏、自适应缩放、中文字体</t>
  </si>
  <si>
    <t>保证可用性与演示体验</t>
  </si>
  <si>
    <t>Benchmark、统计面板、CSV、截图、地图保存与读取、跨平台文件选择</t>
  </si>
  <si>
    <t>结果复现与课程验收需要</t>
  </si>
  <si>
    <t>测试、联调与文档</t>
  </si>
  <si>
    <t>功能测试、异常测试、跨平台检查、说明书与验收材料整理</t>
  </si>
  <si>
    <t>用于最终提交和演示答辩</t>
  </si>
  <si>
    <t>合计</t>
  </si>
  <si>
    <t>1. 为什么人工费用为 0</t>
  </si>
  <si>
    <t>因为没人给我们开工资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</si>
</sst>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\¥#,##0"/>
  </numFmts>
  <fonts count="22">
    <font>
      <sz val="11"/>
      <color theme="1"/>
      <name val="宋体"/>
      <charset val="134"/>
    </font>
    <font>
      <b/>
      <sz val="14"/>
      <color rgb="FFFFFFFF"/>
      <name val="微软雅黑"/>
      <charset val="134"/>
    </font>
    <font>
      <b/>
      <sz val="14"/>
      <color rgb="FFFFFFFF"/>
      <name val="宋体"/>
      <charset val="134"/>
    </font>
    <font>
      <b/>
      <sz val="11"/>
      <color rgb="FFFFFFFF"/>
      <name val="宋体"/>
      <charset val="134"/>
    </font>
    <font>
      <sz val="12"/>
      <color theme="1"/>
      <name val="宋体"/>
      <charset val="134"/>
    </font>
    <font>
      <b/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1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1">
      <alignment vertical="center"/>
    </xf>
    <xf numFmtId="0" fontId="12" fillId="0" borderId="11">
      <alignment vertical="center"/>
    </xf>
    <xf numFmtId="0" fontId="13" fillId="0" borderId="12">
      <alignment vertical="center"/>
    </xf>
    <xf numFmtId="0" fontId="13" fillId="0" borderId="0">
      <alignment vertical="center"/>
    </xf>
    <xf numFmtId="0" fontId="14" fillId="5" borderId="13">
      <alignment vertical="center"/>
    </xf>
    <xf numFmtId="0" fontId="15" fillId="6" borderId="14">
      <alignment vertical="center"/>
    </xf>
    <xf numFmtId="0" fontId="16" fillId="6" borderId="13">
      <alignment vertical="center"/>
    </xf>
    <xf numFmtId="0" fontId="3" fillId="7" borderId="15">
      <alignment vertical="center"/>
    </xf>
    <xf numFmtId="0" fontId="17" fillId="0" borderId="16">
      <alignment vertical="center"/>
    </xf>
    <xf numFmtId="0" fontId="5" fillId="0" borderId="17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1" fillId="34" borderId="0">
      <alignment vertical="center"/>
    </xf>
  </cellStyleXfs>
  <cellXfs count="30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0" fillId="0" borderId="7" xfId="0" applyNumberFormat="1" applyFont="1" applyFill="1" applyBorder="1" applyAlignment="1">
      <alignment vertical="center" wrapText="1"/>
    </xf>
    <xf numFmtId="0" fontId="0" fillId="0" borderId="8" xfId="0" applyNumberFormat="1" applyFont="1" applyFill="1" applyBorder="1" applyAlignment="1">
      <alignment vertical="center" wrapText="1"/>
    </xf>
    <xf numFmtId="0" fontId="0" fillId="0" borderId="8" xfId="0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ont>
        <b val="1"/>
        <color rgb="FF990000"/>
      </font>
      <fill>
        <patternFill patternType="solid">
          <bgColor rgb="FFF4CCCC"/>
        </patternFill>
      </fill>
    </dxf>
    <dxf>
      <font>
        <b val="1"/>
        <color rgb="FFB45F06"/>
      </font>
      <fill>
        <patternFill patternType="solid">
          <bgColor rgb="FFFCE5CD"/>
        </patternFill>
      </fill>
    </dxf>
    <dxf>
      <font>
        <b val="1"/>
        <color rgb="FF38761D"/>
      </font>
      <fill>
        <patternFill patternType="solid">
          <bgColor rgb="FFD9EAD3"/>
        </patternFill>
      </fill>
    </dxf>
    <dxf>
      <font>
        <b val="1"/>
        <color rgb="FF1155CC"/>
      </font>
      <fill>
        <patternFill patternType="solid">
          <bgColor rgb="FFD9E2F3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colors>
    <mruColors>
      <color rgb="0040404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WorkloadEstimateTable" displayName="WorkloadEstimateTable" ref="A2:J15">
  <tableColumns count="10">
    <tableColumn id="1" name="序号" dataDxfId="4"/>
    <tableColumn id="2" name="系统名称" dataDxfId="5"/>
    <tableColumn id="3" name="功能模块" dataDxfId="6"/>
    <tableColumn id="4" name="主要工作内容" dataDxfId="7"/>
    <tableColumn id="5" name="优先级范围" dataDxfId="8"/>
    <tableColumn id="6" name="计划工期(工作日)" dataDxfId="9"/>
    <tableColumn id="7" name="工作量(人天)" dataDxfId="10"/>
    <tableColumn id="8" name="人/天（元）" dataDxfId="11"/>
    <tableColumn id="9" name="小计（元）" dataDxfId="12"/>
    <tableColumn id="10" name="备注" dataDxfId="13"/>
  </tableColumns>
  <tableStyleInfo showFirstColumn="1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topLeftCell="A95" workbookViewId="0">
      <selection activeCell="D110" sqref="D110"/>
    </sheetView>
  </sheetViews>
  <sheetFormatPr defaultColWidth="8.90909090909091" defaultRowHeight="14" outlineLevelCol="5"/>
  <cols>
    <col min="1" max="2" width="18" style="1" customWidth="1"/>
    <col min="3" max="3" width="20" style="1" customWidth="1"/>
    <col min="4" max="4" width="54" style="1" customWidth="1"/>
    <col min="5" max="5" width="12" style="1" customWidth="1"/>
    <col min="6" max="6" width="22" customWidth="1"/>
  </cols>
  <sheetData>
    <row r="1" ht="26" customHeight="1" spans="1:6">
      <c r="A1" s="17" t="s">
        <v>0</v>
      </c>
      <c r="B1" s="18"/>
      <c r="C1" s="18"/>
      <c r="D1" s="18"/>
      <c r="E1" s="18"/>
      <c r="F1" s="19"/>
    </row>
    <row r="2" ht="22" customHeight="1" spans="1:6">
      <c r="A2" s="20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1" t="s">
        <v>6</v>
      </c>
    </row>
    <row r="3" ht="34" customHeight="1" spans="1:6">
      <c r="A3" s="22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23"/>
    </row>
    <row r="4" ht="34" customHeight="1" spans="1:6">
      <c r="A4" s="24"/>
      <c r="B4" s="25"/>
      <c r="C4" s="5" t="s">
        <v>12</v>
      </c>
      <c r="D4" s="5" t="s">
        <v>13</v>
      </c>
      <c r="E4" s="5" t="s">
        <v>11</v>
      </c>
      <c r="F4" s="23"/>
    </row>
    <row r="5" ht="34" customHeight="1" spans="1:6">
      <c r="A5" s="24"/>
      <c r="B5" s="25"/>
      <c r="C5" s="5" t="s">
        <v>14</v>
      </c>
      <c r="D5" s="5" t="s">
        <v>15</v>
      </c>
      <c r="E5" s="5" t="s">
        <v>11</v>
      </c>
      <c r="F5" s="23"/>
    </row>
    <row r="6" ht="34" customHeight="1" spans="1:6">
      <c r="A6" s="24"/>
      <c r="B6" s="25"/>
      <c r="C6" s="5" t="s">
        <v>16</v>
      </c>
      <c r="D6" s="5" t="s">
        <v>17</v>
      </c>
      <c r="E6" s="5" t="s">
        <v>11</v>
      </c>
      <c r="F6" s="23"/>
    </row>
    <row r="7" ht="34" customHeight="1" spans="1:6">
      <c r="A7" s="24"/>
      <c r="B7" s="25"/>
      <c r="C7" s="5" t="s">
        <v>18</v>
      </c>
      <c r="D7" s="5" t="s">
        <v>19</v>
      </c>
      <c r="E7" s="5" t="s">
        <v>11</v>
      </c>
      <c r="F7" s="23"/>
    </row>
    <row r="8" ht="34" customHeight="1" spans="1:6">
      <c r="A8" s="24"/>
      <c r="B8" s="25"/>
      <c r="C8" s="5" t="s">
        <v>20</v>
      </c>
      <c r="D8" s="5" t="s">
        <v>21</v>
      </c>
      <c r="E8" s="5" t="s">
        <v>11</v>
      </c>
      <c r="F8" s="23"/>
    </row>
    <row r="9" ht="34" customHeight="1" spans="1:6">
      <c r="A9" s="24"/>
      <c r="B9" s="25"/>
      <c r="C9" s="5" t="s">
        <v>22</v>
      </c>
      <c r="D9" s="5" t="s">
        <v>23</v>
      </c>
      <c r="E9" s="5" t="s">
        <v>24</v>
      </c>
      <c r="F9" s="23"/>
    </row>
    <row r="10" ht="34" customHeight="1" spans="1:6">
      <c r="A10" s="24"/>
      <c r="B10" s="25"/>
      <c r="C10" s="5" t="s">
        <v>25</v>
      </c>
      <c r="D10" s="5" t="s">
        <v>26</v>
      </c>
      <c r="E10" s="5" t="s">
        <v>11</v>
      </c>
      <c r="F10" s="23"/>
    </row>
    <row r="11" ht="34" customHeight="1" spans="1:6">
      <c r="A11" s="24"/>
      <c r="B11" s="25"/>
      <c r="C11" s="5" t="s">
        <v>27</v>
      </c>
      <c r="D11" s="5" t="s">
        <v>28</v>
      </c>
      <c r="E11" s="5" t="s">
        <v>24</v>
      </c>
      <c r="F11" s="23"/>
    </row>
    <row r="12" ht="34" customHeight="1" spans="1:6">
      <c r="A12" s="24"/>
      <c r="B12" s="25"/>
      <c r="C12" s="5" t="s">
        <v>29</v>
      </c>
      <c r="D12" s="5" t="s">
        <v>30</v>
      </c>
      <c r="E12" s="5" t="s">
        <v>24</v>
      </c>
      <c r="F12" s="23"/>
    </row>
    <row r="13" ht="34" customHeight="1" spans="1:6">
      <c r="A13" s="24"/>
      <c r="B13" s="5" t="s">
        <v>31</v>
      </c>
      <c r="C13" s="5" t="s">
        <v>32</v>
      </c>
      <c r="D13" s="5" t="s">
        <v>33</v>
      </c>
      <c r="E13" s="5" t="s">
        <v>11</v>
      </c>
      <c r="F13" s="23"/>
    </row>
    <row r="14" ht="34" customHeight="1" spans="1:6">
      <c r="A14" s="24"/>
      <c r="B14" s="25"/>
      <c r="C14" s="5" t="s">
        <v>34</v>
      </c>
      <c r="D14" s="5" t="s">
        <v>35</v>
      </c>
      <c r="E14" s="5" t="s">
        <v>24</v>
      </c>
      <c r="F14" s="23"/>
    </row>
    <row r="15" ht="34" customHeight="1" spans="1:6">
      <c r="A15" s="24"/>
      <c r="B15" s="25"/>
      <c r="C15" s="5" t="s">
        <v>36</v>
      </c>
      <c r="D15" s="5" t="s">
        <v>37</v>
      </c>
      <c r="E15" s="5" t="s">
        <v>24</v>
      </c>
      <c r="F15" s="23"/>
    </row>
    <row r="16" ht="34" customHeight="1" spans="1:6">
      <c r="A16" s="24"/>
      <c r="B16" s="25"/>
      <c r="C16" s="5" t="s">
        <v>38</v>
      </c>
      <c r="D16" s="5" t="s">
        <v>39</v>
      </c>
      <c r="E16" s="5" t="s">
        <v>24</v>
      </c>
      <c r="F16" s="23"/>
    </row>
    <row r="17" ht="34" customHeight="1" spans="1:6">
      <c r="A17" s="24"/>
      <c r="B17" s="25"/>
      <c r="C17" s="5" t="s">
        <v>40</v>
      </c>
      <c r="D17" s="5" t="s">
        <v>41</v>
      </c>
      <c r="E17" s="5" t="s">
        <v>24</v>
      </c>
      <c r="F17" s="23"/>
    </row>
    <row r="18" ht="34" customHeight="1" spans="1:6">
      <c r="A18" s="24"/>
      <c r="B18" s="25"/>
      <c r="C18" s="5" t="s">
        <v>42</v>
      </c>
      <c r="D18" s="5" t="s">
        <v>43</v>
      </c>
      <c r="E18" s="5" t="s">
        <v>24</v>
      </c>
      <c r="F18" s="23"/>
    </row>
    <row r="19" ht="34" customHeight="1" spans="1:6">
      <c r="A19" s="24"/>
      <c r="B19" s="25"/>
      <c r="C19" s="5" t="s">
        <v>44</v>
      </c>
      <c r="D19" s="5" t="s">
        <v>45</v>
      </c>
      <c r="E19" s="5" t="s">
        <v>11</v>
      </c>
      <c r="F19" s="23"/>
    </row>
    <row r="20" ht="34" customHeight="1" spans="1:6">
      <c r="A20" s="24"/>
      <c r="B20" s="25"/>
      <c r="C20" s="5" t="s">
        <v>46</v>
      </c>
      <c r="D20" s="5" t="s">
        <v>47</v>
      </c>
      <c r="E20" s="5" t="s">
        <v>24</v>
      </c>
      <c r="F20" s="23"/>
    </row>
    <row r="21" ht="34" customHeight="1" spans="1:6">
      <c r="A21" s="24"/>
      <c r="B21" s="25"/>
      <c r="C21" s="5" t="s">
        <v>48</v>
      </c>
      <c r="D21" s="5" t="s">
        <v>49</v>
      </c>
      <c r="E21" s="5" t="s">
        <v>11</v>
      </c>
      <c r="F21" s="23"/>
    </row>
    <row r="22" ht="34" customHeight="1" spans="1:6">
      <c r="A22" s="24"/>
      <c r="B22" s="25"/>
      <c r="C22" s="5" t="s">
        <v>50</v>
      </c>
      <c r="D22" s="5" t="s">
        <v>51</v>
      </c>
      <c r="E22" s="5" t="s">
        <v>11</v>
      </c>
      <c r="F22" s="23"/>
    </row>
    <row r="23" ht="34" customHeight="1" spans="1:6">
      <c r="A23" s="24"/>
      <c r="B23" s="5" t="s">
        <v>52</v>
      </c>
      <c r="C23" s="5" t="s">
        <v>53</v>
      </c>
      <c r="D23" s="5" t="s">
        <v>54</v>
      </c>
      <c r="E23" s="5" t="s">
        <v>11</v>
      </c>
      <c r="F23" s="23"/>
    </row>
    <row r="24" ht="34" customHeight="1" spans="1:6">
      <c r="A24" s="24"/>
      <c r="B24" s="25"/>
      <c r="C24" s="5" t="s">
        <v>55</v>
      </c>
      <c r="D24" s="5" t="s">
        <v>56</v>
      </c>
      <c r="E24" s="5" t="s">
        <v>24</v>
      </c>
      <c r="F24" s="23"/>
    </row>
    <row r="25" ht="34" customHeight="1" spans="1:6">
      <c r="A25" s="24"/>
      <c r="B25" s="25"/>
      <c r="C25" s="5" t="s">
        <v>57</v>
      </c>
      <c r="D25" s="5" t="s">
        <v>58</v>
      </c>
      <c r="E25" s="5" t="s">
        <v>24</v>
      </c>
      <c r="F25" s="23"/>
    </row>
    <row r="26" ht="34" customHeight="1" spans="1:6">
      <c r="A26" s="24"/>
      <c r="B26" s="25"/>
      <c r="C26" s="5" t="s">
        <v>59</v>
      </c>
      <c r="D26" s="5" t="s">
        <v>60</v>
      </c>
      <c r="E26" s="5" t="s">
        <v>61</v>
      </c>
      <c r="F26" s="23"/>
    </row>
    <row r="27" ht="34" customHeight="1" spans="1:6">
      <c r="A27" s="24"/>
      <c r="B27" s="25"/>
      <c r="C27" s="5" t="s">
        <v>62</v>
      </c>
      <c r="D27" s="5" t="s">
        <v>63</v>
      </c>
      <c r="E27" s="5" t="s">
        <v>61</v>
      </c>
      <c r="F27" s="23"/>
    </row>
    <row r="28" ht="34" customHeight="1" spans="1:6">
      <c r="A28" s="24"/>
      <c r="B28" s="25"/>
      <c r="C28" s="5" t="s">
        <v>64</v>
      </c>
      <c r="D28" s="5" t="s">
        <v>65</v>
      </c>
      <c r="E28" s="5" t="s">
        <v>61</v>
      </c>
      <c r="F28" s="23"/>
    </row>
    <row r="29" ht="34" customHeight="1" spans="1:6">
      <c r="A29" s="24"/>
      <c r="B29" s="25"/>
      <c r="C29" s="5" t="s">
        <v>66</v>
      </c>
      <c r="D29" s="5" t="s">
        <v>67</v>
      </c>
      <c r="E29" s="5" t="s">
        <v>24</v>
      </c>
      <c r="F29" s="23"/>
    </row>
    <row r="30" ht="34" customHeight="1" spans="1:6">
      <c r="A30" s="24"/>
      <c r="B30" s="25"/>
      <c r="C30" s="5" t="s">
        <v>68</v>
      </c>
      <c r="D30" s="5" t="s">
        <v>69</v>
      </c>
      <c r="E30" s="5" t="s">
        <v>11</v>
      </c>
      <c r="F30" s="23"/>
    </row>
    <row r="31" ht="34" customHeight="1" spans="1:6">
      <c r="A31" s="24"/>
      <c r="B31" s="25"/>
      <c r="C31" s="5" t="s">
        <v>70</v>
      </c>
      <c r="D31" s="5" t="s">
        <v>71</v>
      </c>
      <c r="E31" s="5" t="s">
        <v>61</v>
      </c>
      <c r="F31" s="23"/>
    </row>
    <row r="32" ht="34" customHeight="1" spans="1:6">
      <c r="A32" s="24"/>
      <c r="B32" s="5" t="s">
        <v>72</v>
      </c>
      <c r="C32" s="5" t="s">
        <v>73</v>
      </c>
      <c r="D32" s="5" t="s">
        <v>74</v>
      </c>
      <c r="E32" s="5" t="s">
        <v>11</v>
      </c>
      <c r="F32" s="23"/>
    </row>
    <row r="33" ht="34" customHeight="1" spans="1:6">
      <c r="A33" s="24"/>
      <c r="B33" s="25"/>
      <c r="C33" s="5" t="s">
        <v>75</v>
      </c>
      <c r="D33" s="5" t="s">
        <v>76</v>
      </c>
      <c r="E33" s="5" t="s">
        <v>11</v>
      </c>
      <c r="F33" s="23"/>
    </row>
    <row r="34" ht="34" customHeight="1" spans="1:6">
      <c r="A34" s="24"/>
      <c r="B34" s="25"/>
      <c r="C34" s="5" t="s">
        <v>77</v>
      </c>
      <c r="D34" s="5" t="s">
        <v>78</v>
      </c>
      <c r="E34" s="5" t="s">
        <v>11</v>
      </c>
      <c r="F34" s="23"/>
    </row>
    <row r="35" ht="34" customHeight="1" spans="1:6">
      <c r="A35" s="24"/>
      <c r="B35" s="25"/>
      <c r="C35" s="5" t="s">
        <v>79</v>
      </c>
      <c r="D35" s="5" t="s">
        <v>80</v>
      </c>
      <c r="E35" s="5" t="s">
        <v>11</v>
      </c>
      <c r="F35" s="23"/>
    </row>
    <row r="36" ht="34" customHeight="1" spans="1:6">
      <c r="A36" s="24"/>
      <c r="B36" s="25"/>
      <c r="C36" s="5" t="s">
        <v>81</v>
      </c>
      <c r="D36" s="5" t="s">
        <v>82</v>
      </c>
      <c r="E36" s="5" t="s">
        <v>11</v>
      </c>
      <c r="F36" s="23"/>
    </row>
    <row r="37" ht="34" customHeight="1" spans="1:6">
      <c r="A37" s="24"/>
      <c r="B37" s="25"/>
      <c r="C37" s="5" t="s">
        <v>83</v>
      </c>
      <c r="D37" s="5" t="s">
        <v>84</v>
      </c>
      <c r="E37" s="5" t="s">
        <v>24</v>
      </c>
      <c r="F37" s="23"/>
    </row>
    <row r="38" ht="34" customHeight="1" spans="1:6">
      <c r="A38" s="24"/>
      <c r="B38" s="25"/>
      <c r="C38" s="5" t="s">
        <v>85</v>
      </c>
      <c r="D38" s="5" t="s">
        <v>86</v>
      </c>
      <c r="E38" s="5" t="s">
        <v>24</v>
      </c>
      <c r="F38" s="23"/>
    </row>
    <row r="39" ht="34" customHeight="1" spans="1:6">
      <c r="A39" s="24"/>
      <c r="B39" s="25"/>
      <c r="C39" s="5" t="s">
        <v>87</v>
      </c>
      <c r="D39" s="5" t="s">
        <v>88</v>
      </c>
      <c r="E39" s="5" t="s">
        <v>24</v>
      </c>
      <c r="F39" s="23"/>
    </row>
    <row r="40" ht="34" customHeight="1" spans="1:6">
      <c r="A40" s="24"/>
      <c r="B40" s="25"/>
      <c r="C40" s="5" t="s">
        <v>89</v>
      </c>
      <c r="D40" s="5" t="s">
        <v>90</v>
      </c>
      <c r="E40" s="5" t="s">
        <v>11</v>
      </c>
      <c r="F40" s="23"/>
    </row>
    <row r="41" ht="34" customHeight="1" spans="1:6">
      <c r="A41" s="24"/>
      <c r="B41" s="25"/>
      <c r="C41" s="5" t="s">
        <v>91</v>
      </c>
      <c r="D41" s="5" t="s">
        <v>92</v>
      </c>
      <c r="E41" s="5" t="s">
        <v>24</v>
      </c>
      <c r="F41" s="23"/>
    </row>
    <row r="42" ht="34" customHeight="1" spans="1:6">
      <c r="A42" s="24"/>
      <c r="B42" s="25"/>
      <c r="C42" s="5" t="s">
        <v>93</v>
      </c>
      <c r="D42" s="5" t="s">
        <v>94</v>
      </c>
      <c r="E42" s="5" t="s">
        <v>24</v>
      </c>
      <c r="F42" s="23"/>
    </row>
    <row r="43" ht="34" customHeight="1" spans="1:6">
      <c r="A43" s="24"/>
      <c r="B43" s="25"/>
      <c r="C43" s="5" t="s">
        <v>95</v>
      </c>
      <c r="D43" s="5" t="s">
        <v>96</v>
      </c>
      <c r="E43" s="5" t="s">
        <v>24</v>
      </c>
      <c r="F43" s="23"/>
    </row>
    <row r="44" ht="34" customHeight="1" spans="1:6">
      <c r="A44" s="24"/>
      <c r="B44" s="5" t="s">
        <v>97</v>
      </c>
      <c r="C44" s="5" t="s">
        <v>98</v>
      </c>
      <c r="D44" s="5" t="s">
        <v>99</v>
      </c>
      <c r="E44" s="5" t="s">
        <v>11</v>
      </c>
      <c r="F44" s="23"/>
    </row>
    <row r="45" ht="34" customHeight="1" spans="1:6">
      <c r="A45" s="24"/>
      <c r="B45" s="25"/>
      <c r="C45" s="5" t="s">
        <v>100</v>
      </c>
      <c r="D45" s="5" t="s">
        <v>101</v>
      </c>
      <c r="E45" s="5" t="s">
        <v>11</v>
      </c>
      <c r="F45" s="23"/>
    </row>
    <row r="46" ht="34" customHeight="1" spans="1:6">
      <c r="A46" s="24"/>
      <c r="B46" s="25"/>
      <c r="C46" s="5" t="s">
        <v>102</v>
      </c>
      <c r="D46" s="5" t="s">
        <v>103</v>
      </c>
      <c r="E46" s="5" t="s">
        <v>11</v>
      </c>
      <c r="F46" s="23"/>
    </row>
    <row r="47" ht="34" customHeight="1" spans="1:6">
      <c r="A47" s="24"/>
      <c r="B47" s="25"/>
      <c r="C47" s="5" t="s">
        <v>104</v>
      </c>
      <c r="D47" s="5" t="s">
        <v>105</v>
      </c>
      <c r="E47" s="5" t="s">
        <v>11</v>
      </c>
      <c r="F47" s="23"/>
    </row>
    <row r="48" ht="34" customHeight="1" spans="1:6">
      <c r="A48" s="24"/>
      <c r="B48" s="25"/>
      <c r="C48" s="5" t="s">
        <v>106</v>
      </c>
      <c r="D48" s="5" t="s">
        <v>107</v>
      </c>
      <c r="E48" s="5" t="s">
        <v>24</v>
      </c>
      <c r="F48" s="23"/>
    </row>
    <row r="49" ht="34" customHeight="1" spans="1:6">
      <c r="A49" s="24"/>
      <c r="B49" s="25"/>
      <c r="C49" s="5" t="s">
        <v>108</v>
      </c>
      <c r="D49" s="5" t="s">
        <v>109</v>
      </c>
      <c r="E49" s="5" t="s">
        <v>24</v>
      </c>
      <c r="F49" s="23"/>
    </row>
    <row r="50" ht="34" customHeight="1" spans="1:6">
      <c r="A50" s="24"/>
      <c r="B50" s="25"/>
      <c r="C50" s="5" t="s">
        <v>110</v>
      </c>
      <c r="D50" s="5" t="s">
        <v>111</v>
      </c>
      <c r="E50" s="5" t="s">
        <v>11</v>
      </c>
      <c r="F50" s="23"/>
    </row>
    <row r="51" ht="34" customHeight="1" spans="1:6">
      <c r="A51" s="24"/>
      <c r="B51" s="25"/>
      <c r="C51" s="5" t="s">
        <v>112</v>
      </c>
      <c r="D51" s="5" t="s">
        <v>113</v>
      </c>
      <c r="E51" s="5" t="s">
        <v>11</v>
      </c>
      <c r="F51" s="23"/>
    </row>
    <row r="52" ht="34" customHeight="1" spans="1:6">
      <c r="A52" s="24"/>
      <c r="B52" s="25"/>
      <c r="C52" s="5" t="s">
        <v>114</v>
      </c>
      <c r="D52" s="5" t="s">
        <v>115</v>
      </c>
      <c r="E52" s="5" t="s">
        <v>11</v>
      </c>
      <c r="F52" s="23"/>
    </row>
    <row r="53" ht="34" customHeight="1" spans="1:6">
      <c r="A53" s="24"/>
      <c r="B53" s="25"/>
      <c r="C53" s="5" t="s">
        <v>116</v>
      </c>
      <c r="D53" s="5" t="s">
        <v>117</v>
      </c>
      <c r="E53" s="5" t="s">
        <v>11</v>
      </c>
      <c r="F53" s="23"/>
    </row>
    <row r="54" ht="34" customHeight="1" spans="1:6">
      <c r="A54" s="24"/>
      <c r="B54" s="25"/>
      <c r="C54" s="5" t="s">
        <v>118</v>
      </c>
      <c r="D54" s="5" t="s">
        <v>119</v>
      </c>
      <c r="E54" s="5" t="s">
        <v>11</v>
      </c>
      <c r="F54" s="23"/>
    </row>
    <row r="55" ht="34" customHeight="1" spans="1:6">
      <c r="A55" s="24"/>
      <c r="B55" s="5" t="s">
        <v>120</v>
      </c>
      <c r="C55" s="5" t="s">
        <v>121</v>
      </c>
      <c r="D55" s="5" t="s">
        <v>122</v>
      </c>
      <c r="E55" s="5" t="s">
        <v>11</v>
      </c>
      <c r="F55" s="23"/>
    </row>
    <row r="56" ht="34" customHeight="1" spans="1:6">
      <c r="A56" s="24"/>
      <c r="B56" s="25"/>
      <c r="C56" s="5" t="s">
        <v>123</v>
      </c>
      <c r="D56" s="5" t="s">
        <v>124</v>
      </c>
      <c r="E56" s="5" t="s">
        <v>24</v>
      </c>
      <c r="F56" s="23"/>
    </row>
    <row r="57" ht="34" customHeight="1" spans="1:6">
      <c r="A57" s="24"/>
      <c r="B57" s="25"/>
      <c r="C57" s="5" t="s">
        <v>125</v>
      </c>
      <c r="D57" s="5" t="s">
        <v>126</v>
      </c>
      <c r="E57" s="5" t="s">
        <v>24</v>
      </c>
      <c r="F57" s="23"/>
    </row>
    <row r="58" ht="34" customHeight="1" spans="1:6">
      <c r="A58" s="24"/>
      <c r="B58" s="25"/>
      <c r="C58" s="5" t="s">
        <v>127</v>
      </c>
      <c r="D58" s="5" t="s">
        <v>128</v>
      </c>
      <c r="E58" s="5" t="s">
        <v>24</v>
      </c>
      <c r="F58" s="23"/>
    </row>
    <row r="59" ht="34" customHeight="1" spans="1:6">
      <c r="A59" s="24"/>
      <c r="B59" s="25"/>
      <c r="C59" s="5" t="s">
        <v>129</v>
      </c>
      <c r="D59" s="5" t="s">
        <v>130</v>
      </c>
      <c r="E59" s="5" t="s">
        <v>24</v>
      </c>
      <c r="F59" s="23"/>
    </row>
    <row r="60" ht="34" customHeight="1" spans="1:6">
      <c r="A60" s="24"/>
      <c r="B60" s="25"/>
      <c r="C60" s="5" t="s">
        <v>131</v>
      </c>
      <c r="D60" s="5" t="s">
        <v>132</v>
      </c>
      <c r="E60" s="5" t="s">
        <v>61</v>
      </c>
      <c r="F60" s="23"/>
    </row>
    <row r="61" ht="34" customHeight="1" spans="1:6">
      <c r="A61" s="24"/>
      <c r="B61" s="25"/>
      <c r="C61" s="5" t="s">
        <v>133</v>
      </c>
      <c r="D61" s="5" t="s">
        <v>134</v>
      </c>
      <c r="E61" s="5" t="s">
        <v>24</v>
      </c>
      <c r="F61" s="23"/>
    </row>
    <row r="62" ht="34" customHeight="1" spans="1:6">
      <c r="A62" s="24"/>
      <c r="B62" s="25"/>
      <c r="C62" s="5" t="s">
        <v>135</v>
      </c>
      <c r="D62" s="5" t="s">
        <v>136</v>
      </c>
      <c r="E62" s="5" t="s">
        <v>24</v>
      </c>
      <c r="F62" s="23"/>
    </row>
    <row r="63" ht="34" customHeight="1" spans="1:6">
      <c r="A63" s="24"/>
      <c r="B63" s="25"/>
      <c r="C63" s="5" t="s">
        <v>137</v>
      </c>
      <c r="D63" s="5" t="s">
        <v>138</v>
      </c>
      <c r="E63" s="5" t="s">
        <v>24</v>
      </c>
      <c r="F63" s="23"/>
    </row>
    <row r="64" ht="34" customHeight="1" spans="1:6">
      <c r="A64" s="24"/>
      <c r="B64" s="5" t="s">
        <v>139</v>
      </c>
      <c r="C64" s="5" t="s">
        <v>140</v>
      </c>
      <c r="D64" s="5" t="s">
        <v>141</v>
      </c>
      <c r="E64" s="5" t="s">
        <v>11</v>
      </c>
      <c r="F64" s="23"/>
    </row>
    <row r="65" ht="34" customHeight="1" spans="1:6">
      <c r="A65" s="24"/>
      <c r="B65" s="25"/>
      <c r="C65" s="5" t="s">
        <v>142</v>
      </c>
      <c r="D65" s="5" t="s">
        <v>143</v>
      </c>
      <c r="E65" s="5" t="s">
        <v>11</v>
      </c>
      <c r="F65" s="23"/>
    </row>
    <row r="66" ht="34" customHeight="1" spans="1:6">
      <c r="A66" s="24"/>
      <c r="B66" s="25"/>
      <c r="C66" s="5" t="s">
        <v>144</v>
      </c>
      <c r="D66" s="5" t="s">
        <v>145</v>
      </c>
      <c r="E66" s="5" t="s">
        <v>11</v>
      </c>
      <c r="F66" s="23"/>
    </row>
    <row r="67" ht="34" customHeight="1" spans="1:6">
      <c r="A67" s="24"/>
      <c r="B67" s="25"/>
      <c r="C67" s="5" t="s">
        <v>146</v>
      </c>
      <c r="D67" s="5" t="s">
        <v>147</v>
      </c>
      <c r="E67" s="5" t="s">
        <v>11</v>
      </c>
      <c r="F67" s="23"/>
    </row>
    <row r="68" ht="34" customHeight="1" spans="1:6">
      <c r="A68" s="24"/>
      <c r="B68" s="25"/>
      <c r="C68" s="5" t="s">
        <v>148</v>
      </c>
      <c r="D68" s="5" t="s">
        <v>149</v>
      </c>
      <c r="E68" s="5" t="s">
        <v>24</v>
      </c>
      <c r="F68" s="23"/>
    </row>
    <row r="69" ht="34" customHeight="1" spans="1:6">
      <c r="A69" s="24"/>
      <c r="B69" s="25"/>
      <c r="C69" s="5" t="s">
        <v>150</v>
      </c>
      <c r="D69" s="5" t="s">
        <v>151</v>
      </c>
      <c r="E69" s="5" t="s">
        <v>61</v>
      </c>
      <c r="F69" s="23"/>
    </row>
    <row r="70" ht="34" customHeight="1" spans="1:6">
      <c r="A70" s="24"/>
      <c r="B70" s="25"/>
      <c r="C70" s="5" t="s">
        <v>152</v>
      </c>
      <c r="D70" s="5" t="s">
        <v>153</v>
      </c>
      <c r="E70" s="5" t="s">
        <v>154</v>
      </c>
      <c r="F70" s="23"/>
    </row>
    <row r="71" ht="34" customHeight="1" spans="1:6">
      <c r="A71" s="24"/>
      <c r="B71" s="5" t="s">
        <v>155</v>
      </c>
      <c r="C71" s="5" t="s">
        <v>156</v>
      </c>
      <c r="D71" s="5" t="s">
        <v>157</v>
      </c>
      <c r="E71" s="5" t="s">
        <v>11</v>
      </c>
      <c r="F71" s="23"/>
    </row>
    <row r="72" ht="34" customHeight="1" spans="1:6">
      <c r="A72" s="24"/>
      <c r="B72" s="25"/>
      <c r="C72" s="5" t="s">
        <v>158</v>
      </c>
      <c r="D72" s="5" t="s">
        <v>159</v>
      </c>
      <c r="E72" s="5" t="s">
        <v>61</v>
      </c>
      <c r="F72" s="23"/>
    </row>
    <row r="73" ht="34" customHeight="1" spans="1:6">
      <c r="A73" s="24"/>
      <c r="B73" s="25"/>
      <c r="C73" s="5" t="s">
        <v>160</v>
      </c>
      <c r="D73" s="5" t="s">
        <v>161</v>
      </c>
      <c r="E73" s="5" t="s">
        <v>11</v>
      </c>
      <c r="F73" s="23"/>
    </row>
    <row r="74" ht="34" customHeight="1" spans="1:6">
      <c r="A74" s="24"/>
      <c r="B74" s="25"/>
      <c r="C74" s="5" t="s">
        <v>162</v>
      </c>
      <c r="D74" s="5" t="s">
        <v>163</v>
      </c>
      <c r="E74" s="5" t="s">
        <v>11</v>
      </c>
      <c r="F74" s="23"/>
    </row>
    <row r="75" ht="34" customHeight="1" spans="1:6">
      <c r="A75" s="24"/>
      <c r="B75" s="25"/>
      <c r="C75" s="5" t="s">
        <v>164</v>
      </c>
      <c r="D75" s="5" t="s">
        <v>165</v>
      </c>
      <c r="E75" s="5" t="s">
        <v>24</v>
      </c>
      <c r="F75" s="23"/>
    </row>
    <row r="76" ht="34" customHeight="1" spans="1:6">
      <c r="A76" s="24"/>
      <c r="B76" s="25"/>
      <c r="C76" s="5" t="s">
        <v>166</v>
      </c>
      <c r="D76" s="5" t="s">
        <v>167</v>
      </c>
      <c r="E76" s="5" t="s">
        <v>24</v>
      </c>
      <c r="F76" s="23"/>
    </row>
    <row r="77" ht="34" customHeight="1" spans="1:6">
      <c r="A77" s="24"/>
      <c r="B77" s="5" t="s">
        <v>168</v>
      </c>
      <c r="C77" s="5" t="s">
        <v>169</v>
      </c>
      <c r="D77" s="5" t="s">
        <v>170</v>
      </c>
      <c r="E77" s="5" t="s">
        <v>24</v>
      </c>
      <c r="F77" s="23"/>
    </row>
    <row r="78" ht="34" customHeight="1" spans="1:6">
      <c r="A78" s="24"/>
      <c r="B78" s="25"/>
      <c r="C78" s="5" t="s">
        <v>171</v>
      </c>
      <c r="D78" s="5" t="s">
        <v>172</v>
      </c>
      <c r="E78" s="5" t="s">
        <v>24</v>
      </c>
      <c r="F78" s="23"/>
    </row>
    <row r="79" ht="34" customHeight="1" spans="1:6">
      <c r="A79" s="24"/>
      <c r="B79" s="25"/>
      <c r="C79" s="5" t="s">
        <v>173</v>
      </c>
      <c r="D79" s="5" t="s">
        <v>174</v>
      </c>
      <c r="E79" s="5" t="s">
        <v>154</v>
      </c>
      <c r="F79" s="23"/>
    </row>
    <row r="80" ht="34" customHeight="1" spans="1:6">
      <c r="A80" s="24"/>
      <c r="B80" s="25"/>
      <c r="C80" s="5" t="s">
        <v>175</v>
      </c>
      <c r="D80" s="5" t="s">
        <v>176</v>
      </c>
      <c r="E80" s="5" t="s">
        <v>24</v>
      </c>
      <c r="F80" s="23"/>
    </row>
    <row r="81" ht="34" customHeight="1" spans="1:6">
      <c r="A81" s="24"/>
      <c r="B81" s="25"/>
      <c r="C81" s="5" t="s">
        <v>177</v>
      </c>
      <c r="D81" s="5" t="s">
        <v>178</v>
      </c>
      <c r="E81" s="5" t="s">
        <v>24</v>
      </c>
      <c r="F81" s="23"/>
    </row>
    <row r="82" ht="34" customHeight="1" spans="1:6">
      <c r="A82" s="24"/>
      <c r="B82" s="25"/>
      <c r="C82" s="5" t="s">
        <v>179</v>
      </c>
      <c r="D82" s="5" t="s">
        <v>180</v>
      </c>
      <c r="E82" s="5" t="s">
        <v>24</v>
      </c>
      <c r="F82" s="23"/>
    </row>
    <row r="83" ht="34" customHeight="1" spans="1:6">
      <c r="A83" s="24"/>
      <c r="B83" s="25"/>
      <c r="C83" s="5" t="s">
        <v>181</v>
      </c>
      <c r="D83" s="5" t="s">
        <v>182</v>
      </c>
      <c r="E83" s="5" t="s">
        <v>61</v>
      </c>
      <c r="F83" s="23"/>
    </row>
    <row r="84" ht="34" customHeight="1" spans="1:6">
      <c r="A84" s="24"/>
      <c r="B84" s="25"/>
      <c r="C84" s="5" t="s">
        <v>183</v>
      </c>
      <c r="D84" s="5" t="s">
        <v>184</v>
      </c>
      <c r="E84" s="5" t="s">
        <v>24</v>
      </c>
      <c r="F84" s="23"/>
    </row>
    <row r="85" ht="34" customHeight="1" spans="1:6">
      <c r="A85" s="24"/>
      <c r="B85" s="25"/>
      <c r="C85" s="5" t="s">
        <v>185</v>
      </c>
      <c r="D85" s="5" t="s">
        <v>186</v>
      </c>
      <c r="E85" s="5" t="s">
        <v>24</v>
      </c>
      <c r="F85" s="23"/>
    </row>
    <row r="86" ht="34" customHeight="1" spans="1:6">
      <c r="A86" s="24"/>
      <c r="B86" s="5" t="s">
        <v>187</v>
      </c>
      <c r="C86" s="5" t="s">
        <v>188</v>
      </c>
      <c r="D86" s="5" t="s">
        <v>189</v>
      </c>
      <c r="E86" s="5" t="s">
        <v>11</v>
      </c>
      <c r="F86" s="23"/>
    </row>
    <row r="87" ht="34" customHeight="1" spans="1:6">
      <c r="A87" s="24"/>
      <c r="B87" s="25"/>
      <c r="C87" s="5" t="s">
        <v>190</v>
      </c>
      <c r="D87" s="5" t="s">
        <v>191</v>
      </c>
      <c r="E87" s="5" t="s">
        <v>24</v>
      </c>
      <c r="F87" s="23"/>
    </row>
    <row r="88" ht="34" customHeight="1" spans="1:6">
      <c r="A88" s="24"/>
      <c r="B88" s="25"/>
      <c r="C88" s="5" t="s">
        <v>192</v>
      </c>
      <c r="D88" s="5" t="s">
        <v>193</v>
      </c>
      <c r="E88" s="5" t="s">
        <v>24</v>
      </c>
      <c r="F88" s="23"/>
    </row>
    <row r="89" ht="34" customHeight="1" spans="1:6">
      <c r="A89" s="24"/>
      <c r="B89" s="25"/>
      <c r="C89" s="5" t="s">
        <v>194</v>
      </c>
      <c r="D89" s="5" t="s">
        <v>195</v>
      </c>
      <c r="E89" s="5" t="s">
        <v>24</v>
      </c>
      <c r="F89" s="23"/>
    </row>
    <row r="90" ht="34" customHeight="1" spans="1:6">
      <c r="A90" s="24"/>
      <c r="B90" s="25"/>
      <c r="C90" s="5" t="s">
        <v>196</v>
      </c>
      <c r="D90" s="5" t="s">
        <v>197</v>
      </c>
      <c r="E90" s="5" t="s">
        <v>154</v>
      </c>
      <c r="F90" s="23"/>
    </row>
    <row r="91" ht="34" customHeight="1" spans="1:6">
      <c r="A91" s="24"/>
      <c r="B91" s="25"/>
      <c r="C91" s="5" t="s">
        <v>198</v>
      </c>
      <c r="D91" s="5" t="s">
        <v>199</v>
      </c>
      <c r="E91" s="5" t="s">
        <v>61</v>
      </c>
      <c r="F91" s="23"/>
    </row>
    <row r="92" ht="34" customHeight="1" spans="1:6">
      <c r="A92" s="24"/>
      <c r="B92" s="25"/>
      <c r="C92" s="5" t="s">
        <v>200</v>
      </c>
      <c r="D92" s="5" t="s">
        <v>201</v>
      </c>
      <c r="E92" s="5" t="s">
        <v>61</v>
      </c>
      <c r="F92" s="23"/>
    </row>
    <row r="93" ht="34" customHeight="1" spans="1:6">
      <c r="A93" s="24"/>
      <c r="B93" s="5" t="s">
        <v>202</v>
      </c>
      <c r="C93" s="5" t="s">
        <v>203</v>
      </c>
      <c r="D93" s="5" t="s">
        <v>204</v>
      </c>
      <c r="E93" s="5" t="s">
        <v>24</v>
      </c>
      <c r="F93" s="23"/>
    </row>
    <row r="94" ht="34" customHeight="1" spans="1:6">
      <c r="A94" s="24"/>
      <c r="B94" s="25"/>
      <c r="C94" s="5" t="s">
        <v>205</v>
      </c>
      <c r="D94" s="5" t="s">
        <v>206</v>
      </c>
      <c r="E94" s="5" t="s">
        <v>11</v>
      </c>
      <c r="F94" s="23"/>
    </row>
    <row r="95" ht="34" customHeight="1" spans="1:6">
      <c r="A95" s="24"/>
      <c r="B95" s="25"/>
      <c r="C95" s="5" t="s">
        <v>207</v>
      </c>
      <c r="D95" s="5" t="s">
        <v>208</v>
      </c>
      <c r="E95" s="5" t="s">
        <v>24</v>
      </c>
      <c r="F95" s="23"/>
    </row>
    <row r="96" ht="34" customHeight="1" spans="1:6">
      <c r="A96" s="24"/>
      <c r="B96" s="25"/>
      <c r="C96" s="5" t="s">
        <v>209</v>
      </c>
      <c r="D96" s="5" t="s">
        <v>210</v>
      </c>
      <c r="E96" s="5" t="s">
        <v>61</v>
      </c>
      <c r="F96" s="23"/>
    </row>
    <row r="97" ht="34" customHeight="1" spans="1:6">
      <c r="A97" s="24"/>
      <c r="B97" s="25"/>
      <c r="C97" s="5" t="s">
        <v>211</v>
      </c>
      <c r="D97" s="5" t="s">
        <v>212</v>
      </c>
      <c r="E97" s="5" t="s">
        <v>11</v>
      </c>
      <c r="F97" s="23"/>
    </row>
    <row r="98" ht="34" customHeight="1" spans="1:6">
      <c r="A98" s="24"/>
      <c r="B98" s="25"/>
      <c r="C98" s="5" t="s">
        <v>213</v>
      </c>
      <c r="D98" s="5" t="s">
        <v>214</v>
      </c>
      <c r="E98" s="5" t="s">
        <v>11</v>
      </c>
      <c r="F98" s="23"/>
    </row>
    <row r="99" ht="34" customHeight="1" spans="1:6">
      <c r="A99" s="26"/>
      <c r="B99" s="27"/>
      <c r="C99" s="28" t="s">
        <v>215</v>
      </c>
      <c r="D99" s="28" t="s">
        <v>216</v>
      </c>
      <c r="E99" s="28" t="s">
        <v>61</v>
      </c>
      <c r="F99" s="29"/>
    </row>
  </sheetData>
  <mergeCells count="13">
    <mergeCell ref="A1:F1"/>
    <mergeCell ref="A3:A99"/>
    <mergeCell ref="B3:B12"/>
    <mergeCell ref="B13:B22"/>
    <mergeCell ref="B23:B31"/>
    <mergeCell ref="B32:B43"/>
    <mergeCell ref="B44:B54"/>
    <mergeCell ref="B55:B63"/>
    <mergeCell ref="B64:B70"/>
    <mergeCell ref="B71:B76"/>
    <mergeCell ref="B77:B85"/>
    <mergeCell ref="B86:B92"/>
    <mergeCell ref="B93:B99"/>
  </mergeCells>
  <conditionalFormatting sqref="E3:E99">
    <cfRule type="expression" dxfId="0" priority="1">
      <formula>E3="P0"</formula>
    </cfRule>
    <cfRule type="expression" dxfId="1" priority="2">
      <formula>E3="P1"</formula>
    </cfRule>
    <cfRule type="expression" dxfId="2" priority="3">
      <formula>E3="P2"</formula>
    </cfRule>
    <cfRule type="expression" dxfId="3" priority="4">
      <formula>E3="P3"</formula>
    </cfRule>
  </conditionalFormatting>
  <dataValidations count="1">
    <dataValidation type="list" sqref="E3:E99">
      <formula1>"P0,P1,P2,P3"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zoomScale="85" zoomScaleNormal="85" workbookViewId="0">
      <selection activeCell="B18" sqref="B18"/>
    </sheetView>
  </sheetViews>
  <sheetFormatPr defaultColWidth="8.90909090909091" defaultRowHeight="14"/>
  <cols>
    <col min="1" max="1" width="8" style="1" customWidth="1"/>
    <col min="2" max="2" width="22" style="1" customWidth="1"/>
    <col min="3" max="3" width="20" style="1" customWidth="1"/>
    <col min="4" max="4" width="48" style="1" customWidth="1"/>
    <col min="5" max="6" width="16" style="1" customWidth="1"/>
    <col min="7" max="7" width="14" style="1" customWidth="1"/>
    <col min="8" max="8" width="12" style="1" customWidth="1"/>
    <col min="9" max="9" width="14" style="1" customWidth="1"/>
    <col min="10" max="10" width="30" customWidth="1"/>
  </cols>
  <sheetData>
    <row r="1" ht="26" customHeight="1" spans="1:10">
      <c r="A1" s="2" t="s">
        <v>217</v>
      </c>
      <c r="B1" s="3"/>
      <c r="C1" s="3"/>
      <c r="D1" s="3"/>
      <c r="E1" s="3"/>
      <c r="F1" s="3"/>
      <c r="G1" s="3"/>
      <c r="H1" s="3"/>
      <c r="I1" s="3"/>
      <c r="J1" s="3"/>
    </row>
    <row r="2" ht="22" customHeight="1" spans="1:10">
      <c r="A2" s="2" t="s">
        <v>218</v>
      </c>
      <c r="B2" s="2" t="s">
        <v>1</v>
      </c>
      <c r="C2" s="2" t="s">
        <v>2</v>
      </c>
      <c r="D2" s="2" t="s">
        <v>219</v>
      </c>
      <c r="E2" s="2" t="s">
        <v>220</v>
      </c>
      <c r="F2" s="2" t="s">
        <v>221</v>
      </c>
      <c r="G2" s="2" t="s">
        <v>222</v>
      </c>
      <c r="H2" s="2" t="s">
        <v>223</v>
      </c>
      <c r="I2" s="2" t="s">
        <v>224</v>
      </c>
      <c r="J2" s="4" t="s">
        <v>225</v>
      </c>
    </row>
    <row r="3" ht="42" customHeight="1" spans="1:10">
      <c r="A3" s="5">
        <v>1</v>
      </c>
      <c r="B3" s="5" t="s">
        <v>7</v>
      </c>
      <c r="C3" s="5" t="s">
        <v>8</v>
      </c>
      <c r="D3" s="5" t="s">
        <v>226</v>
      </c>
      <c r="E3" s="5" t="s">
        <v>227</v>
      </c>
      <c r="F3" s="6">
        <v>2</v>
      </c>
      <c r="G3" s="6">
        <v>2</v>
      </c>
      <c r="H3" s="7">
        <v>0</v>
      </c>
      <c r="I3" s="7">
        <f t="shared" ref="I3:I14" si="0">G3*H3</f>
        <v>0</v>
      </c>
      <c r="J3" s="5" t="s">
        <v>228</v>
      </c>
    </row>
    <row r="4" ht="42" customHeight="1" spans="1:10">
      <c r="A4" s="5">
        <v>2</v>
      </c>
      <c r="B4" s="5" t="s">
        <v>7</v>
      </c>
      <c r="C4" s="5" t="s">
        <v>31</v>
      </c>
      <c r="D4" s="5" t="s">
        <v>229</v>
      </c>
      <c r="E4" s="5" t="s">
        <v>227</v>
      </c>
      <c r="F4" s="8">
        <v>2</v>
      </c>
      <c r="G4" s="8">
        <v>2.5</v>
      </c>
      <c r="H4" s="7">
        <v>0</v>
      </c>
      <c r="I4" s="9">
        <f t="shared" si="0"/>
        <v>0</v>
      </c>
      <c r="J4" s="5" t="s">
        <v>230</v>
      </c>
    </row>
    <row r="5" ht="42" customHeight="1" spans="1:10">
      <c r="A5" s="5">
        <v>3</v>
      </c>
      <c r="B5" s="5" t="s">
        <v>7</v>
      </c>
      <c r="C5" s="5" t="s">
        <v>52</v>
      </c>
      <c r="D5" s="5" t="s">
        <v>231</v>
      </c>
      <c r="E5" s="5" t="s">
        <v>232</v>
      </c>
      <c r="F5" s="8">
        <v>3</v>
      </c>
      <c r="G5" s="8">
        <v>3</v>
      </c>
      <c r="H5" s="7">
        <v>0</v>
      </c>
      <c r="I5" s="9">
        <f t="shared" si="0"/>
        <v>0</v>
      </c>
      <c r="J5" s="5" t="s">
        <v>233</v>
      </c>
    </row>
    <row r="6" ht="42" customHeight="1" spans="1:10">
      <c r="A6" s="5">
        <v>4</v>
      </c>
      <c r="B6" s="5" t="s">
        <v>7</v>
      </c>
      <c r="C6" s="5" t="s">
        <v>72</v>
      </c>
      <c r="D6" s="5" t="s">
        <v>234</v>
      </c>
      <c r="E6" s="5" t="s">
        <v>227</v>
      </c>
      <c r="F6" s="8">
        <v>4</v>
      </c>
      <c r="G6" s="8">
        <v>4</v>
      </c>
      <c r="H6" s="7">
        <v>0</v>
      </c>
      <c r="I6" s="9">
        <f t="shared" si="0"/>
        <v>0</v>
      </c>
      <c r="J6" s="5" t="s">
        <v>235</v>
      </c>
    </row>
    <row r="7" ht="42" customHeight="1" spans="1:10">
      <c r="A7" s="5">
        <v>5</v>
      </c>
      <c r="B7" s="5" t="s">
        <v>7</v>
      </c>
      <c r="C7" s="5" t="s">
        <v>97</v>
      </c>
      <c r="D7" s="5" t="s">
        <v>236</v>
      </c>
      <c r="E7" s="5" t="s">
        <v>227</v>
      </c>
      <c r="F7" s="8">
        <v>4</v>
      </c>
      <c r="G7" s="8">
        <v>5</v>
      </c>
      <c r="H7" s="7">
        <v>0</v>
      </c>
      <c r="I7" s="9">
        <f t="shared" si="0"/>
        <v>0</v>
      </c>
      <c r="J7" s="5" t="s">
        <v>237</v>
      </c>
    </row>
    <row r="8" ht="42" customHeight="1" spans="1:10">
      <c r="A8" s="5">
        <v>6</v>
      </c>
      <c r="B8" s="5" t="s">
        <v>7</v>
      </c>
      <c r="C8" s="5" t="s">
        <v>120</v>
      </c>
      <c r="D8" s="5" t="s">
        <v>238</v>
      </c>
      <c r="E8" s="5" t="s">
        <v>232</v>
      </c>
      <c r="F8" s="8">
        <v>3</v>
      </c>
      <c r="G8" s="8">
        <v>3</v>
      </c>
      <c r="H8" s="7">
        <v>0</v>
      </c>
      <c r="I8" s="9">
        <f t="shared" si="0"/>
        <v>0</v>
      </c>
      <c r="J8" s="5" t="s">
        <v>239</v>
      </c>
    </row>
    <row r="9" ht="42" customHeight="1" spans="1:10">
      <c r="A9" s="5">
        <v>7</v>
      </c>
      <c r="B9" s="5" t="s">
        <v>7</v>
      </c>
      <c r="C9" s="5" t="s">
        <v>139</v>
      </c>
      <c r="D9" s="5" t="s">
        <v>240</v>
      </c>
      <c r="E9" s="5" t="s">
        <v>241</v>
      </c>
      <c r="F9" s="8">
        <v>3</v>
      </c>
      <c r="G9" s="8">
        <v>4</v>
      </c>
      <c r="H9" s="7">
        <v>0</v>
      </c>
      <c r="I9" s="9">
        <f t="shared" si="0"/>
        <v>0</v>
      </c>
      <c r="J9" s="5" t="s">
        <v>242</v>
      </c>
    </row>
    <row r="10" ht="42" customHeight="1" spans="1:10">
      <c r="A10" s="5">
        <v>8</v>
      </c>
      <c r="B10" s="5" t="s">
        <v>7</v>
      </c>
      <c r="C10" s="5" t="s">
        <v>155</v>
      </c>
      <c r="D10" s="5" t="s">
        <v>243</v>
      </c>
      <c r="E10" s="5" t="s">
        <v>232</v>
      </c>
      <c r="F10" s="8">
        <v>2</v>
      </c>
      <c r="G10" s="8">
        <v>2.5</v>
      </c>
      <c r="H10" s="7">
        <v>0</v>
      </c>
      <c r="I10" s="9">
        <f t="shared" si="0"/>
        <v>0</v>
      </c>
      <c r="J10" s="5" t="s">
        <v>244</v>
      </c>
    </row>
    <row r="11" ht="42" customHeight="1" spans="1:10">
      <c r="A11" s="5">
        <v>9</v>
      </c>
      <c r="B11" s="5" t="s">
        <v>7</v>
      </c>
      <c r="C11" s="5" t="s">
        <v>168</v>
      </c>
      <c r="D11" s="5" t="s">
        <v>245</v>
      </c>
      <c r="E11" s="5" t="s">
        <v>246</v>
      </c>
      <c r="F11" s="8">
        <v>5</v>
      </c>
      <c r="G11" s="8">
        <v>6</v>
      </c>
      <c r="H11" s="7">
        <v>0</v>
      </c>
      <c r="I11" s="9">
        <f t="shared" si="0"/>
        <v>0</v>
      </c>
      <c r="J11" s="5" t="s">
        <v>247</v>
      </c>
    </row>
    <row r="12" ht="42" customHeight="1" spans="1:10">
      <c r="A12" s="5">
        <v>10</v>
      </c>
      <c r="B12" s="5" t="s">
        <v>7</v>
      </c>
      <c r="C12" s="5" t="s">
        <v>187</v>
      </c>
      <c r="D12" s="5" t="s">
        <v>248</v>
      </c>
      <c r="E12" s="5" t="s">
        <v>241</v>
      </c>
      <c r="F12" s="8">
        <v>3</v>
      </c>
      <c r="G12" s="8">
        <v>3</v>
      </c>
      <c r="H12" s="7">
        <v>0</v>
      </c>
      <c r="I12" s="9">
        <f t="shared" si="0"/>
        <v>0</v>
      </c>
      <c r="J12" s="5" t="s">
        <v>249</v>
      </c>
    </row>
    <row r="13" ht="42" customHeight="1" spans="1:10">
      <c r="A13" s="5">
        <v>11</v>
      </c>
      <c r="B13" s="5" t="s">
        <v>7</v>
      </c>
      <c r="C13" s="5" t="s">
        <v>202</v>
      </c>
      <c r="D13" s="5" t="s">
        <v>250</v>
      </c>
      <c r="E13" s="5" t="s">
        <v>232</v>
      </c>
      <c r="F13" s="8">
        <v>3</v>
      </c>
      <c r="G13" s="8">
        <v>3</v>
      </c>
      <c r="H13" s="7">
        <v>0</v>
      </c>
      <c r="I13" s="9">
        <f t="shared" si="0"/>
        <v>0</v>
      </c>
      <c r="J13" s="5" t="s">
        <v>251</v>
      </c>
    </row>
    <row r="14" ht="42" customHeight="1" spans="1:10">
      <c r="A14" s="5">
        <v>12</v>
      </c>
      <c r="B14" s="5" t="s">
        <v>7</v>
      </c>
      <c r="C14" s="5" t="s">
        <v>252</v>
      </c>
      <c r="D14" s="5" t="s">
        <v>253</v>
      </c>
      <c r="E14" s="5" t="s">
        <v>11</v>
      </c>
      <c r="F14" s="8">
        <v>2</v>
      </c>
      <c r="G14" s="8">
        <v>3</v>
      </c>
      <c r="H14" s="7">
        <v>0</v>
      </c>
      <c r="I14" s="9">
        <f t="shared" si="0"/>
        <v>0</v>
      </c>
      <c r="J14" s="5" t="s">
        <v>254</v>
      </c>
    </row>
    <row r="15" ht="22" customHeight="1" spans="1:10">
      <c r="A15" s="10" t="s">
        <v>255</v>
      </c>
      <c r="B15" s="10"/>
      <c r="C15" s="10"/>
      <c r="D15" s="10"/>
      <c r="E15" s="10"/>
      <c r="F15" s="11">
        <f>SUM(F3:F14)</f>
        <v>36</v>
      </c>
      <c r="G15" s="11">
        <f>SUM(G3:G14)</f>
        <v>41</v>
      </c>
      <c r="H15" s="12"/>
      <c r="I15" s="12">
        <f>SUM(I3:I14)</f>
        <v>0</v>
      </c>
      <c r="J15" s="10"/>
    </row>
    <row r="16" spans="1:10">
      <c r="A16" s="13"/>
      <c r="B16" s="14"/>
      <c r="C16" s="14"/>
      <c r="D16" s="14"/>
      <c r="E16" s="15"/>
      <c r="F16" s="14"/>
      <c r="G16" s="14"/>
      <c r="H16" s="14"/>
      <c r="I16" s="14"/>
    </row>
    <row r="17" spans="2:9">
      <c r="B17" s="1" t="s">
        <v>225</v>
      </c>
      <c r="C17"/>
      <c r="D17"/>
      <c r="H17" s="16"/>
      <c r="I17" s="16"/>
    </row>
    <row r="18" spans="2:9">
      <c r="B18" s="1" t="s">
        <v>256</v>
      </c>
      <c r="C18" t="s">
        <v>257</v>
      </c>
      <c r="D18"/>
    </row>
    <row r="19" spans="2:9">
      <c r="C19"/>
    </row>
    <row r="20" spans="2:9">
      <c r="C20"/>
    </row>
  </sheetData>
  <mergeCells count="1">
    <mergeCell ref="A1:J1"/>
  </mergeCells>
  <dataValidations count="1">
    <dataValidation type="list" sqref="E3:E14">
      <formula1>"P0,P1,P2,P3,P0/P1,P0/P1/P2,P1/P2/P3,P0/P1/P2/P3"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清单</vt:lpstr>
      <vt:lpstr>工作量评估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SDLTF</dc:creator>
  <cp:lastModifiedBy>WPS_1760413628</cp:lastModifiedBy>
  <dcterms:created xsi:type="dcterms:W3CDTF">2026-07-08T02:04:58Z</dcterms:created>
  <dcterms:modified xsi:type="dcterms:W3CDTF">2026-07-08T02:12:27Z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EC5088C2E43B42158348B4707771AC5B_12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